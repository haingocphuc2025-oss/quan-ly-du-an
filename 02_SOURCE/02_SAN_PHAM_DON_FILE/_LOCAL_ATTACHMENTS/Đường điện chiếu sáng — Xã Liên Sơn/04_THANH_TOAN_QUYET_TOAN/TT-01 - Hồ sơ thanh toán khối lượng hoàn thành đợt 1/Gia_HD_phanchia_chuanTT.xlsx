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3EDF55-760D-4C39-BF09-1F8D63309ABF}" xr6:coauthVersionLast="47" xr6:coauthVersionMax="47" xr10:uidLastSave="{00000000-0000-0000-0000-000000000000}"/>
  <bookViews>
    <workbookView xWindow="-120" yWindow="-120" windowWidth="29040" windowHeight="15840" tabRatio="500" firstSheet="3" activeTab="3" xr2:uid="{00000000-000D-0000-FFFF-FFFF00000000}"/>
  </bookViews>
  <sheets>
    <sheet name="Bảng Công nhật tổng hợp" sheetId="1" state="hidden" r:id="rId1"/>
    <sheet name="Mẫu số 11B. Bảng tổng hợp giá d" sheetId="2" state="hidden" r:id="rId2"/>
    <sheet name="Tổng hợp giá dự thầu" sheetId="3" state="hidden" r:id="rId3"/>
    <sheet name="Phân chia LD (chuẩn TT)" sheetId="4" r:id="rId4"/>
  </sheets>
  <definedNames>
    <definedName name="_xleta_ROUND">none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4" l="1"/>
  <c r="F20" i="4" s="1"/>
  <c r="F21" i="4" s="1"/>
  <c r="C26" i="4" s="1"/>
  <c r="D20" i="4"/>
  <c r="B20" i="4"/>
  <c r="D15" i="4"/>
  <c r="C15" i="4"/>
  <c r="B15" i="4"/>
  <c r="D14" i="4"/>
  <c r="C14" i="4"/>
  <c r="B14" i="4"/>
  <c r="D13" i="4"/>
  <c r="B13" i="4"/>
  <c r="D12" i="4"/>
  <c r="C12" i="4"/>
  <c r="B12" i="4"/>
  <c r="E11" i="4"/>
  <c r="D11" i="4"/>
  <c r="C11" i="4"/>
  <c r="B11" i="4"/>
  <c r="D10" i="4"/>
  <c r="C10" i="4"/>
  <c r="B10" i="4"/>
  <c r="F9" i="4"/>
  <c r="D9" i="4"/>
  <c r="C9" i="4"/>
  <c r="B9" i="4"/>
  <c r="D8" i="4"/>
  <c r="C8" i="4"/>
  <c r="B8" i="4"/>
  <c r="D7" i="4"/>
  <c r="C7" i="4"/>
  <c r="B7" i="4"/>
  <c r="E6" i="4"/>
  <c r="D6" i="4"/>
  <c r="C6" i="4"/>
  <c r="B6" i="4"/>
  <c r="C20" i="2"/>
  <c r="F15" i="2"/>
  <c r="J14" i="2"/>
  <c r="H14" i="2" s="1"/>
  <c r="I14" i="2" s="1"/>
  <c r="G14" i="2"/>
  <c r="E15" i="4" s="1"/>
  <c r="G13" i="2"/>
  <c r="E14" i="4" s="1"/>
  <c r="J12" i="2"/>
  <c r="H12" i="2" s="1"/>
  <c r="I12" i="2" s="1"/>
  <c r="G12" i="2"/>
  <c r="E13" i="4" s="1"/>
  <c r="F13" i="4" s="1"/>
  <c r="G11" i="2"/>
  <c r="E12" i="4" s="1"/>
  <c r="J10" i="2"/>
  <c r="H10" i="2" s="1"/>
  <c r="I10" i="2" s="1"/>
  <c r="G10" i="2"/>
  <c r="G9" i="2"/>
  <c r="J9" i="2" s="1"/>
  <c r="J8" i="2"/>
  <c r="H8" i="2" s="1"/>
  <c r="I8" i="2" s="1"/>
  <c r="G8" i="2"/>
  <c r="E9" i="4" s="1"/>
  <c r="G7" i="2"/>
  <c r="J7" i="2" s="1"/>
  <c r="J6" i="2"/>
  <c r="H6" i="2" s="1"/>
  <c r="I6" i="2" s="1"/>
  <c r="G6" i="2"/>
  <c r="E7" i="4" s="1"/>
  <c r="G5" i="2"/>
  <c r="J5" i="2" s="1"/>
  <c r="F10" i="4" l="1"/>
  <c r="H9" i="2"/>
  <c r="I9" i="2" s="1"/>
  <c r="F6" i="4"/>
  <c r="H5" i="2"/>
  <c r="I5" i="2" s="1"/>
  <c r="H7" i="2"/>
  <c r="I7" i="2" s="1"/>
  <c r="F8" i="4"/>
  <c r="E8" i="4"/>
  <c r="F11" i="4"/>
  <c r="F16" i="2"/>
  <c r="F17" i="2" s="1"/>
  <c r="E10" i="4"/>
  <c r="J11" i="2"/>
  <c r="J15" i="2" s="1"/>
  <c r="J13" i="2"/>
  <c r="F15" i="4"/>
  <c r="F7" i="4"/>
  <c r="J16" i="2" l="1"/>
  <c r="J17" i="2" s="1"/>
  <c r="F19" i="2"/>
  <c r="F20" i="2"/>
  <c r="F14" i="4"/>
  <c r="H13" i="2"/>
  <c r="I13" i="2" s="1"/>
  <c r="F12" i="4"/>
  <c r="H11" i="2"/>
  <c r="I11" i="2" s="1"/>
  <c r="F16" i="4"/>
  <c r="C25" i="4" s="1"/>
  <c r="C27" i="4" s="1"/>
  <c r="E25" i="4" l="1"/>
  <c r="E26" i="4" s="1"/>
  <c r="J20" i="2"/>
  <c r="J19" i="2"/>
  <c r="D26" i="4" l="1"/>
  <c r="F26" i="4"/>
  <c r="F25" i="4"/>
  <c r="E27" i="4"/>
  <c r="F27" i="4" s="1"/>
  <c r="D25" i="4"/>
  <c r="D27" i="4" s="1"/>
</calcChain>
</file>

<file path=xl/sharedStrings.xml><?xml version="1.0" encoding="utf-8"?>
<sst xmlns="http://schemas.openxmlformats.org/spreadsheetml/2006/main" count="97" uniqueCount="70">
  <si>
    <t>BẢNG CÔNG NHẬT TỔNG HỢP</t>
  </si>
  <si>
    <t>STT</t>
  </si>
  <si>
    <t>Các hạng mục</t>
  </si>
  <si>
    <t>Thành tiền (VND)</t>
  </si>
  <si>
    <t>1</t>
  </si>
  <si>
    <t>Tổng giá cho Công nhật: Nhân công</t>
  </si>
  <si>
    <t>2</t>
  </si>
  <si>
    <t>Tổng giá cho Công nhật: Vật liệu</t>
  </si>
  <si>
    <t>3</t>
  </si>
  <si>
    <t>Tổng giá cho Công nhật: Thiết bị của nhà thầu</t>
  </si>
  <si>
    <t>Tổng giá cho Công nhật (kết chuyển sang cột "số tiền" của Chi phí công nhật trong bảng tổng hợp giá dự thầu)</t>
  </si>
  <si>
    <t>MẪU SỐ 11B. BẢNG TỔNG HỢP GIÁ DỰ THẦU</t>
  </si>
  <si>
    <t>Nội dung công việc</t>
  </si>
  <si>
    <t xml:space="preserve">Khối lượng </t>
  </si>
  <si>
    <t>Đơn vị tính</t>
  </si>
  <si>
    <t>Đơn giá Hợp đồng</t>
  </si>
  <si>
    <t>Thành tiền</t>
  </si>
  <si>
    <t>Thành tiền trước thuế</t>
  </si>
  <si>
    <t>Tuế GTGT</t>
  </si>
  <si>
    <t>Thành tiền (đã bao gồm thuế GTGT 8%)</t>
  </si>
  <si>
    <t>Đào móng công trình, chiều rộng móng &lt;= 10m, bằng máy đào 2,3m3, đất cấp III</t>
  </si>
  <si>
    <t>100m3</t>
  </si>
  <si>
    <t>Đắp trả móng bằng đá hộc</t>
  </si>
  <si>
    <t>Thi công lớp đá đệm móng, loại đá hộc</t>
  </si>
  <si>
    <t>m3</t>
  </si>
  <si>
    <t>4</t>
  </si>
  <si>
    <t>Vận chuyển đất bằng ôtô tự đổ 12 tấn trong phạm vi &lt;= 500m, đất cấp III</t>
  </si>
  <si>
    <t>5</t>
  </si>
  <si>
    <t>Chọn đá hộc tại bãi thải bằng máy đào 0.8mm3 (vận dụng)</t>
  </si>
  <si>
    <t>6</t>
  </si>
  <si>
    <t>Xúc đá hộc tại bãi thải lên phương tiện vận chuyển, bằng máy đào 0,8m3</t>
  </si>
  <si>
    <t>7</t>
  </si>
  <si>
    <t>Vận chuyển đá hộc bằng ôtô tự đổ 12 tấn trong phạm vi &lt;= 1000m</t>
  </si>
  <si>
    <t>8</t>
  </si>
  <si>
    <t>Làm và thả rọ đá, loại rọ 2x1x1 m trên cạn</t>
  </si>
  <si>
    <t>rọ</t>
  </si>
  <si>
    <t>9</t>
  </si>
  <si>
    <t>Đổ bê tông thủ công bằng máy trộn, bê tông sân gia cố, đá 1x2, mác 200</t>
  </si>
  <si>
    <t>10</t>
  </si>
  <si>
    <t>Đá hộc lát khan sân giảm áp</t>
  </si>
  <si>
    <t>Cộng phi phí xây dựng Gxd</t>
  </si>
  <si>
    <t>Chi phí dự phòng Gdp</t>
  </si>
  <si>
    <t>%</t>
  </si>
  <si>
    <t xml:space="preserve">Tổng cộng giá Hợp đồng </t>
  </si>
  <si>
    <t>Hưng thịnh</t>
  </si>
  <si>
    <t>Đại Dương</t>
  </si>
  <si>
    <t>TỔNG HỢP GIÁ DỰ THẦU</t>
  </si>
  <si>
    <t>Các hạng mục áp dụng loại hợp đồng theo đơn giá cố định</t>
  </si>
  <si>
    <t>Tổng giá dự thầu (đã bao gồm thuế, phí, lệ phí (nếu có)):</t>
  </si>
  <si>
    <t>Số tiền bằng chữ: Mười hai tỷ bảy trăm mười chín triệu một trăm mười nghìn chín trăm năm mươi sáu phảy ba ba bảy bốn đồng</t>
  </si>
  <si>
    <t>PHÂN CHIA GIÁ TRỊ CÔNG VIỆC GIỮA CÁC THÀNH VIÊN LIÊN DANH</t>
  </si>
  <si>
    <t>(Căn cứ các hạng mục trong Bảng tổng hợp giá dự thầu - Mẫu số 11B, theo Thông tư 79/2025/TT-BTC)</t>
  </si>
  <si>
    <t>A. Công ty CP ĐTXD Thương mại Hưng Thịnh Hà Nội (thành viên đứng đầu liên danh)</t>
  </si>
  <si>
    <t>Khối lượng</t>
  </si>
  <si>
    <t>ĐVT</t>
  </si>
  <si>
    <t>Đơn giá HĐ (gồm VAT)</t>
  </si>
  <si>
    <t>Thành tiền (đã gồm VAT 8%)</t>
  </si>
  <si>
    <t>Cộng chi phí xây dựng (Gxd) - Hưng Thịnh</t>
  </si>
  <si>
    <t>B. Công ty CP đầu tư xây dựng Đại Dương (thành viên thứ hai)</t>
  </si>
  <si>
    <t>Cộng chi phí xây dựng (Gxd) - Đại Dương</t>
  </si>
  <si>
    <t>C. Tổng hợp giá trị đảm nhận</t>
  </si>
  <si>
    <t>Thành viên liên danh</t>
  </si>
  <si>
    <t>Chi phí xây dựng (Gxd)</t>
  </si>
  <si>
    <t>Dự phòng phân bổ</t>
  </si>
  <si>
    <t>Giá trị đảm nhận</t>
  </si>
  <si>
    <t>Tỷ lệ</t>
  </si>
  <si>
    <t>Công ty CP ĐTXD TM Hưng Thịnh Hà Nội (đứng đầu)</t>
  </si>
  <si>
    <t>Công ty CP đầu tư xây dựng Đại Dương</t>
  </si>
  <si>
    <t>Tổng cộng</t>
  </si>
  <si>
    <t>Ghi chú: Gxd của mỗi thành viên = tổng thành tiền các hạng mục thành viên đó đảm nhận (đã gồm VAT 8%); tỷ lệ % được suy ra từ giá trị hạng mục, đúng nguyên tắc phân chia theo Mẫu 11B. Chi phí dự phòng phân bổ theo tỷ lệ đảm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</si>
</sst>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rgb="FF000000"/>
      <name val="Calibri"/>
      <family val="2"/>
      <charset val="1"/>
    </font>
    <font>
      <b/>
      <sz val="14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b/>
      <sz val="14"/>
      <name val="Times New Roman"/>
      <charset val="1"/>
    </font>
    <font>
      <i/>
      <sz val="11"/>
      <name val="Times New Roman"/>
      <charset val="1"/>
    </font>
    <font>
      <b/>
      <sz val="12"/>
      <name val="Times New Roman"/>
      <charset val="1"/>
    </font>
    <font>
      <b/>
      <sz val="11"/>
      <name val="Times New Roman"/>
      <charset val="1"/>
    </font>
    <font>
      <sz val="12"/>
      <name val="Times New Roman"/>
      <charset val="1"/>
    </font>
    <font>
      <i/>
      <sz val="1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1" fillId="0" borderId="0" xfId="0" applyFont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3" fontId="0" fillId="0" borderId="0" xfId="0" applyNumberFormat="1"/>
    <xf numFmtId="0" fontId="1" fillId="0" borderId="0" xfId="0" applyFont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 applyProtection="1">
      <alignment vertical="center"/>
      <protection locked="0"/>
    </xf>
    <xf numFmtId="3" fontId="2" fillId="2" borderId="1" xfId="0" applyNumberFormat="1" applyFont="1" applyFill="1" applyBorder="1" applyAlignment="1" applyProtection="1">
      <alignment horizontal="right" vertical="center" wrapText="1"/>
      <protection locked="0"/>
    </xf>
    <xf numFmtId="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2" fillId="2" borderId="1" xfId="0" applyNumberFormat="1" applyFont="1" applyFill="1" applyBorder="1" applyAlignment="1" applyProtection="1">
      <alignment horizontal="right" vertical="center" wrapText="1"/>
      <protection locked="0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/>
    </xf>
    <xf numFmtId="10" fontId="10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sqref="A1:H3"/>
    </sheetView>
  </sheetViews>
  <sheetFormatPr defaultColWidth="9" defaultRowHeight="15" x14ac:dyDescent="0.25"/>
  <cols>
    <col min="1" max="3" width="30" customWidth="1"/>
  </cols>
  <sheetData>
    <row r="1" spans="1:8" ht="15" customHeight="1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9"/>
      <c r="B2" s="9"/>
      <c r="C2" s="9"/>
      <c r="D2" s="9"/>
      <c r="E2" s="9"/>
      <c r="F2" s="9"/>
      <c r="G2" s="9"/>
      <c r="H2" s="9"/>
    </row>
    <row r="3" spans="1:8" ht="15" customHeight="1" x14ac:dyDescent="0.25">
      <c r="A3" s="9"/>
      <c r="B3" s="9"/>
      <c r="C3" s="9"/>
      <c r="D3" s="9"/>
      <c r="E3" s="9"/>
      <c r="F3" s="9"/>
      <c r="G3" s="9"/>
      <c r="H3" s="9"/>
    </row>
    <row r="4" spans="1:8" ht="15.75" customHeight="1" x14ac:dyDescent="0.25">
      <c r="A4" s="10" t="s">
        <v>1</v>
      </c>
      <c r="B4" s="10" t="s">
        <v>2</v>
      </c>
      <c r="C4" s="10" t="s">
        <v>3</v>
      </c>
    </row>
    <row r="5" spans="1:8" ht="15.75" customHeight="1" x14ac:dyDescent="0.25">
      <c r="A5" s="11" t="s">
        <v>4</v>
      </c>
      <c r="B5" s="12" t="s">
        <v>5</v>
      </c>
      <c r="C5" s="12"/>
    </row>
    <row r="6" spans="1:8" ht="15.75" customHeight="1" x14ac:dyDescent="0.25">
      <c r="A6" s="11" t="s">
        <v>6</v>
      </c>
      <c r="B6" s="12" t="s">
        <v>7</v>
      </c>
      <c r="C6" s="12"/>
    </row>
    <row r="7" spans="1:8" ht="15.75" customHeight="1" x14ac:dyDescent="0.25">
      <c r="A7" s="11" t="s">
        <v>8</v>
      </c>
      <c r="B7" s="12" t="s">
        <v>9</v>
      </c>
      <c r="C7" s="12"/>
    </row>
    <row r="8" spans="1:8" ht="15.75" customHeight="1" x14ac:dyDescent="0.25">
      <c r="A8" s="8" t="s">
        <v>10</v>
      </c>
      <c r="B8" s="8"/>
      <c r="C8" s="13"/>
    </row>
  </sheetData>
  <mergeCells count="2">
    <mergeCell ref="A1:H3"/>
    <mergeCell ref="A8:B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zoomScale="145" zoomScaleNormal="145" workbookViewId="0">
      <selection sqref="A1:H3"/>
    </sheetView>
  </sheetViews>
  <sheetFormatPr defaultColWidth="9" defaultRowHeight="15" x14ac:dyDescent="0.25"/>
  <cols>
    <col min="1" max="1" width="8.5703125" customWidth="1"/>
    <col min="2" max="2" width="37.85546875" customWidth="1"/>
    <col min="3" max="3" width="14" style="14" customWidth="1"/>
    <col min="4" max="4" width="12.140625" style="15" customWidth="1"/>
    <col min="5" max="5" width="19.7109375" style="16" hidden="1" customWidth="1"/>
    <col min="6" max="6" width="30" hidden="1" customWidth="1"/>
    <col min="7" max="7" width="21.7109375" style="17" customWidth="1"/>
    <col min="8" max="8" width="16.7109375" hidden="1" customWidth="1"/>
    <col min="9" max="9" width="19.7109375" hidden="1" customWidth="1"/>
    <col min="10" max="10" width="23.140625" customWidth="1"/>
  </cols>
  <sheetData>
    <row r="1" spans="1:10" ht="18.75" customHeight="1" x14ac:dyDescent="0.25">
      <c r="A1" s="7" t="s">
        <v>11</v>
      </c>
      <c r="B1" s="7"/>
      <c r="C1" s="7"/>
      <c r="D1" s="7"/>
      <c r="E1" s="7"/>
      <c r="F1" s="7"/>
      <c r="G1" s="7"/>
      <c r="H1" s="18"/>
      <c r="I1" s="18"/>
    </row>
    <row r="2" spans="1:10" ht="18.75" customHeight="1" x14ac:dyDescent="0.25">
      <c r="A2" s="7"/>
      <c r="B2" s="7"/>
      <c r="C2" s="7"/>
      <c r="D2" s="7"/>
      <c r="E2" s="7"/>
      <c r="F2" s="7"/>
      <c r="G2" s="7"/>
      <c r="H2" s="18"/>
      <c r="I2" s="18"/>
    </row>
    <row r="3" spans="1:10" ht="18.75" customHeight="1" x14ac:dyDescent="0.25">
      <c r="A3" s="7"/>
      <c r="B3" s="7"/>
      <c r="C3" s="7"/>
      <c r="D3" s="7"/>
      <c r="E3" s="7"/>
      <c r="F3" s="7"/>
      <c r="G3" s="7"/>
      <c r="H3" s="18"/>
      <c r="I3" s="18"/>
    </row>
    <row r="4" spans="1:10" ht="41.25" customHeight="1" x14ac:dyDescent="0.25">
      <c r="A4" s="10" t="s">
        <v>1</v>
      </c>
      <c r="B4" s="19" t="s">
        <v>12</v>
      </c>
      <c r="C4" s="19" t="s">
        <v>13</v>
      </c>
      <c r="D4" s="10" t="s">
        <v>14</v>
      </c>
      <c r="E4" s="20" t="s">
        <v>15</v>
      </c>
      <c r="F4" s="10" t="s">
        <v>16</v>
      </c>
      <c r="G4" s="21" t="s">
        <v>15</v>
      </c>
      <c r="H4" s="19" t="s">
        <v>17</v>
      </c>
      <c r="I4" s="19" t="s">
        <v>18</v>
      </c>
      <c r="J4" s="19" t="s">
        <v>19</v>
      </c>
    </row>
    <row r="5" spans="1:10" ht="31.5" customHeight="1" x14ac:dyDescent="0.25">
      <c r="A5" s="11" t="s">
        <v>4</v>
      </c>
      <c r="B5" s="22" t="s">
        <v>20</v>
      </c>
      <c r="C5" s="11">
        <v>57.98</v>
      </c>
      <c r="D5" s="11" t="s">
        <v>21</v>
      </c>
      <c r="E5" s="23">
        <v>2896373</v>
      </c>
      <c r="F5" s="24">
        <v>167931706.53999999</v>
      </c>
      <c r="G5" s="23">
        <f t="shared" ref="G5:G14" si="0">+ROUND(E5-(E5*3.37%),0)</f>
        <v>2798765</v>
      </c>
      <c r="H5" s="23">
        <f t="shared" ref="H5:H14" si="1">+J5/1.08</f>
        <v>150252217.5925926</v>
      </c>
      <c r="I5" s="23">
        <f t="shared" ref="I5:I14" si="2">+H5*8%</f>
        <v>12020177.407407409</v>
      </c>
      <c r="J5" s="25">
        <f t="shared" ref="J5:J14" si="3">+ROUND(C5*G5,0)</f>
        <v>162272395</v>
      </c>
    </row>
    <row r="6" spans="1:10" ht="15.75" customHeight="1" x14ac:dyDescent="0.25">
      <c r="A6" s="11" t="s">
        <v>6</v>
      </c>
      <c r="B6" s="22" t="s">
        <v>22</v>
      </c>
      <c r="C6" s="11">
        <v>9.94</v>
      </c>
      <c r="D6" s="11" t="s">
        <v>21</v>
      </c>
      <c r="E6" s="23">
        <v>6893210</v>
      </c>
      <c r="F6" s="24">
        <v>68518507.400000006</v>
      </c>
      <c r="G6" s="23">
        <f t="shared" si="0"/>
        <v>6660909</v>
      </c>
      <c r="H6" s="23">
        <f t="shared" si="1"/>
        <v>61305032.407407403</v>
      </c>
      <c r="I6" s="23">
        <f t="shared" si="2"/>
        <v>4904402.5925925924</v>
      </c>
      <c r="J6" s="25">
        <f t="shared" si="3"/>
        <v>66209435</v>
      </c>
    </row>
    <row r="7" spans="1:10" ht="15.75" customHeight="1" x14ac:dyDescent="0.25">
      <c r="A7" s="11" t="s">
        <v>8</v>
      </c>
      <c r="B7" s="22" t="s">
        <v>23</v>
      </c>
      <c r="C7" s="11">
        <v>1044</v>
      </c>
      <c r="D7" s="11" t="s">
        <v>24</v>
      </c>
      <c r="E7" s="23">
        <v>622869</v>
      </c>
      <c r="F7" s="24">
        <v>650275236</v>
      </c>
      <c r="G7" s="23">
        <f t="shared" si="0"/>
        <v>601878</v>
      </c>
      <c r="H7" s="23">
        <f t="shared" si="1"/>
        <v>581815400</v>
      </c>
      <c r="I7" s="23">
        <f t="shared" si="2"/>
        <v>46545232</v>
      </c>
      <c r="J7" s="25">
        <f t="shared" si="3"/>
        <v>628360632</v>
      </c>
    </row>
    <row r="8" spans="1:10" ht="31.5" customHeight="1" x14ac:dyDescent="0.25">
      <c r="A8" s="11" t="s">
        <v>25</v>
      </c>
      <c r="B8" s="22" t="s">
        <v>26</v>
      </c>
      <c r="C8" s="11">
        <v>57.98</v>
      </c>
      <c r="D8" s="11" t="s">
        <v>21</v>
      </c>
      <c r="E8" s="23">
        <v>2447343</v>
      </c>
      <c r="F8" s="24">
        <v>141896947.13999999</v>
      </c>
      <c r="G8" s="23">
        <f t="shared" si="0"/>
        <v>2364868</v>
      </c>
      <c r="H8" s="23">
        <f t="shared" si="1"/>
        <v>126958376.85185185</v>
      </c>
      <c r="I8" s="23">
        <f t="shared" si="2"/>
        <v>10156670.148148147</v>
      </c>
      <c r="J8" s="25">
        <f t="shared" si="3"/>
        <v>137115047</v>
      </c>
    </row>
    <row r="9" spans="1:10" ht="31.5" customHeight="1" x14ac:dyDescent="0.25">
      <c r="A9" s="11" t="s">
        <v>27</v>
      </c>
      <c r="B9" s="22" t="s">
        <v>28</v>
      </c>
      <c r="C9" s="11">
        <v>156.5</v>
      </c>
      <c r="D9" s="11" t="s">
        <v>21</v>
      </c>
      <c r="E9" s="23">
        <v>2758029</v>
      </c>
      <c r="F9" s="24">
        <v>431631538.5</v>
      </c>
      <c r="G9" s="23">
        <f t="shared" si="0"/>
        <v>2665083</v>
      </c>
      <c r="H9" s="23">
        <f t="shared" si="1"/>
        <v>386190268.51851851</v>
      </c>
      <c r="I9" s="23">
        <f t="shared" si="2"/>
        <v>30895221.481481481</v>
      </c>
      <c r="J9" s="25">
        <f t="shared" si="3"/>
        <v>417085490</v>
      </c>
    </row>
    <row r="10" spans="1:10" ht="31.5" customHeight="1" x14ac:dyDescent="0.25">
      <c r="A10" s="11" t="s">
        <v>29</v>
      </c>
      <c r="B10" s="22" t="s">
        <v>30</v>
      </c>
      <c r="C10" s="11">
        <v>156.5</v>
      </c>
      <c r="D10" s="11" t="s">
        <v>21</v>
      </c>
      <c r="E10" s="23">
        <v>2758029</v>
      </c>
      <c r="F10" s="24">
        <v>431631538.5</v>
      </c>
      <c r="G10" s="23">
        <f t="shared" si="0"/>
        <v>2665083</v>
      </c>
      <c r="H10" s="23">
        <f t="shared" si="1"/>
        <v>386190268.51851851</v>
      </c>
      <c r="I10" s="23">
        <f t="shared" si="2"/>
        <v>30895221.481481481</v>
      </c>
      <c r="J10" s="25">
        <f t="shared" si="3"/>
        <v>417085490</v>
      </c>
    </row>
    <row r="11" spans="1:10" ht="31.5" customHeight="1" x14ac:dyDescent="0.25">
      <c r="A11" s="11" t="s">
        <v>31</v>
      </c>
      <c r="B11" s="22" t="s">
        <v>32</v>
      </c>
      <c r="C11" s="11">
        <v>156.5</v>
      </c>
      <c r="D11" s="11" t="s">
        <v>21</v>
      </c>
      <c r="E11" s="23">
        <v>5040501</v>
      </c>
      <c r="F11" s="24">
        <v>788838406.5</v>
      </c>
      <c r="G11" s="23">
        <f t="shared" si="0"/>
        <v>4870636</v>
      </c>
      <c r="H11" s="23">
        <f t="shared" si="1"/>
        <v>705791235.18518519</v>
      </c>
      <c r="I11" s="23">
        <f t="shared" si="2"/>
        <v>56463298.814814813</v>
      </c>
      <c r="J11" s="25">
        <f t="shared" si="3"/>
        <v>762254534</v>
      </c>
    </row>
    <row r="12" spans="1:10" ht="31.5" customHeight="1" x14ac:dyDescent="0.25">
      <c r="A12" s="11" t="s">
        <v>33</v>
      </c>
      <c r="B12" s="22" t="s">
        <v>34</v>
      </c>
      <c r="C12" s="11">
        <v>6791</v>
      </c>
      <c r="D12" s="11" t="s">
        <v>35</v>
      </c>
      <c r="E12" s="23">
        <v>1297791</v>
      </c>
      <c r="F12" s="24">
        <v>8813298681</v>
      </c>
      <c r="G12" s="23">
        <f t="shared" si="0"/>
        <v>1254055</v>
      </c>
      <c r="H12" s="23">
        <f t="shared" si="1"/>
        <v>7885451393.5185184</v>
      </c>
      <c r="I12" s="23">
        <f t="shared" si="2"/>
        <v>630836111.48148143</v>
      </c>
      <c r="J12" s="25">
        <f t="shared" si="3"/>
        <v>8516287505</v>
      </c>
    </row>
    <row r="13" spans="1:10" ht="31.5" customHeight="1" x14ac:dyDescent="0.25">
      <c r="A13" s="11" t="s">
        <v>36</v>
      </c>
      <c r="B13" s="22" t="s">
        <v>37</v>
      </c>
      <c r="C13" s="11">
        <v>25.2</v>
      </c>
      <c r="D13" s="11" t="s">
        <v>24</v>
      </c>
      <c r="E13" s="23">
        <v>2024044</v>
      </c>
      <c r="F13" s="24">
        <v>51005908.799999997</v>
      </c>
      <c r="G13" s="23">
        <f t="shared" si="0"/>
        <v>1955834</v>
      </c>
      <c r="H13" s="23">
        <f t="shared" si="1"/>
        <v>45636126.851851851</v>
      </c>
      <c r="I13" s="23">
        <f t="shared" si="2"/>
        <v>3650890.1481481483</v>
      </c>
      <c r="J13" s="25">
        <f t="shared" si="3"/>
        <v>49287017</v>
      </c>
    </row>
    <row r="14" spans="1:10" ht="15.75" customHeight="1" x14ac:dyDescent="0.25">
      <c r="A14" s="11" t="s">
        <v>38</v>
      </c>
      <c r="B14" s="22" t="s">
        <v>39</v>
      </c>
      <c r="C14" s="11">
        <v>30</v>
      </c>
      <c r="D14" s="11" t="s">
        <v>24</v>
      </c>
      <c r="E14" s="23">
        <v>1154761</v>
      </c>
      <c r="F14" s="24">
        <v>34642830</v>
      </c>
      <c r="G14" s="23">
        <f t="shared" si="0"/>
        <v>1115846</v>
      </c>
      <c r="H14" s="23">
        <f t="shared" si="1"/>
        <v>30995722.22222222</v>
      </c>
      <c r="I14" s="23">
        <f t="shared" si="2"/>
        <v>2479657.7777777775</v>
      </c>
      <c r="J14" s="25">
        <f t="shared" si="3"/>
        <v>33475380</v>
      </c>
    </row>
    <row r="15" spans="1:10" ht="15.75" customHeight="1" x14ac:dyDescent="0.25">
      <c r="A15" s="6" t="s">
        <v>40</v>
      </c>
      <c r="B15" s="6"/>
      <c r="C15" s="26"/>
      <c r="D15" s="26"/>
      <c r="E15" s="26"/>
      <c r="F15" s="26">
        <f>+SUM(F5:F14)</f>
        <v>11579671300.379999</v>
      </c>
      <c r="G15" s="26"/>
      <c r="H15" s="26"/>
      <c r="I15" s="26"/>
      <c r="J15" s="26">
        <f>SUM(J5:J14)</f>
        <v>11189432925</v>
      </c>
    </row>
    <row r="16" spans="1:10" ht="15.75" customHeight="1" x14ac:dyDescent="0.25">
      <c r="A16" s="6" t="s">
        <v>41</v>
      </c>
      <c r="B16" s="6"/>
      <c r="C16" s="27">
        <v>9.84</v>
      </c>
      <c r="D16" s="28" t="s">
        <v>42</v>
      </c>
      <c r="E16" s="26"/>
      <c r="F16" s="26">
        <f>+F15*C16%</f>
        <v>1139439655.957392</v>
      </c>
      <c r="G16" s="26"/>
      <c r="H16" s="26"/>
      <c r="I16" s="26"/>
      <c r="J16" s="26">
        <f>+ROUND(J15*C16%,3)</f>
        <v>1101040199.8199999</v>
      </c>
    </row>
    <row r="17" spans="1:10" ht="15.75" customHeight="1" x14ac:dyDescent="0.25">
      <c r="A17" s="6" t="s">
        <v>43</v>
      </c>
      <c r="B17" s="6"/>
      <c r="C17" s="28"/>
      <c r="D17" s="28"/>
      <c r="E17" s="26"/>
      <c r="F17" s="26">
        <f>+F15+F16</f>
        <v>12719110956.337391</v>
      </c>
      <c r="G17" s="26"/>
      <c r="J17" s="26">
        <f>+J15+J16</f>
        <v>12290473124.82</v>
      </c>
    </row>
    <row r="19" spans="1:10" ht="15.75" customHeight="1" x14ac:dyDescent="0.25">
      <c r="B19" t="s">
        <v>44</v>
      </c>
      <c r="C19" s="14">
        <v>39.950000000000003</v>
      </c>
      <c r="D19" s="15" t="s">
        <v>42</v>
      </c>
      <c r="F19" s="26">
        <f>+F17*C19%</f>
        <v>5081284827.0567875</v>
      </c>
      <c r="J19" s="29">
        <f>ROUND(+J17*C19%,0)</f>
        <v>4910044013</v>
      </c>
    </row>
    <row r="20" spans="1:10" ht="15.75" customHeight="1" x14ac:dyDescent="0.25">
      <c r="B20" t="s">
        <v>45</v>
      </c>
      <c r="C20" s="14">
        <f>100-C19</f>
        <v>60.05</v>
      </c>
      <c r="D20" s="15" t="s">
        <v>42</v>
      </c>
      <c r="F20" s="26">
        <f>+F17*C20%</f>
        <v>7637826129.2806025</v>
      </c>
      <c r="J20" s="29">
        <f>ROUND(+J17*C20%,0)+1</f>
        <v>7380429112</v>
      </c>
    </row>
  </sheetData>
  <mergeCells count="4">
    <mergeCell ref="A1:G3"/>
    <mergeCell ref="A15:B15"/>
    <mergeCell ref="A16:B16"/>
    <mergeCell ref="A17:B17"/>
  </mergeCells>
  <dataValidations count="1">
    <dataValidation type="whole" showErrorMessage="1" errorTitle="Lưu ý" error="Nhập số nguyên lớn hơn -999,999,999,999,999 và nhỏ hơn 999,999,999,999,999" promptTitle="Lưu ý" prompt="Nhập số nguyên lớn hơn -999,999,999,999,999 và nhỏ hơn 999,999,999,999,999" sqref="E5:E14" xr:uid="{00000000-0002-0000-0100-000000000000}">
      <formula1>-999999999999999</formula1>
      <formula2>999999999999999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>
      <selection activeCell="C6" sqref="C6"/>
    </sheetView>
  </sheetViews>
  <sheetFormatPr defaultColWidth="9" defaultRowHeight="15" x14ac:dyDescent="0.25"/>
  <cols>
    <col min="1" max="3" width="30" customWidth="1"/>
  </cols>
  <sheetData>
    <row r="1" spans="1:8" ht="15" customHeight="1" x14ac:dyDescent="0.25">
      <c r="A1" s="9" t="s">
        <v>46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9"/>
      <c r="B2" s="9"/>
      <c r="C2" s="9"/>
      <c r="D2" s="9"/>
      <c r="E2" s="9"/>
      <c r="F2" s="9"/>
      <c r="G2" s="9"/>
      <c r="H2" s="9"/>
    </row>
    <row r="3" spans="1:8" ht="15" customHeight="1" x14ac:dyDescent="0.25">
      <c r="A3" s="9"/>
      <c r="B3" s="9"/>
      <c r="C3" s="9"/>
      <c r="D3" s="9"/>
      <c r="E3" s="9"/>
      <c r="F3" s="9"/>
      <c r="G3" s="9"/>
      <c r="H3" s="9"/>
    </row>
    <row r="4" spans="1:8" ht="15.75" customHeight="1" x14ac:dyDescent="0.25">
      <c r="A4" s="10" t="s">
        <v>1</v>
      </c>
      <c r="B4" s="10" t="s">
        <v>2</v>
      </c>
      <c r="C4" s="10" t="s">
        <v>3</v>
      </c>
    </row>
    <row r="5" spans="1:8" ht="15.75" customHeight="1" x14ac:dyDescent="0.25">
      <c r="A5" s="11" t="s">
        <v>4</v>
      </c>
      <c r="B5" s="12" t="s">
        <v>47</v>
      </c>
      <c r="C5" s="12">
        <v>12719110956.3374</v>
      </c>
    </row>
    <row r="6" spans="1:8" ht="15.75" customHeight="1" x14ac:dyDescent="0.25">
      <c r="A6" s="8" t="s">
        <v>48</v>
      </c>
      <c r="B6" s="8"/>
      <c r="C6" s="13">
        <v>12719110956.3374</v>
      </c>
    </row>
    <row r="7" spans="1:8" ht="78.75" customHeight="1" x14ac:dyDescent="0.25">
      <c r="A7" s="8"/>
      <c r="B7" s="8"/>
      <c r="C7" s="13" t="s">
        <v>49</v>
      </c>
    </row>
  </sheetData>
  <mergeCells count="2">
    <mergeCell ref="A1:H3"/>
    <mergeCell ref="A6:B7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tabSelected="1" zoomScaleNormal="100" workbookViewId="0">
      <selection activeCell="F5" sqref="F5"/>
    </sheetView>
  </sheetViews>
  <sheetFormatPr defaultColWidth="8.7109375" defaultRowHeight="15" x14ac:dyDescent="0.25"/>
  <cols>
    <col min="1" max="1" width="6" customWidth="1"/>
    <col min="2" max="2" width="31.42578125" customWidth="1"/>
    <col min="3" max="3" width="14.140625" customWidth="1"/>
    <col min="4" max="4" width="13.85546875" customWidth="1"/>
    <col min="5" max="5" width="19" customWidth="1"/>
    <col min="6" max="6" width="17.28515625" customWidth="1"/>
  </cols>
  <sheetData>
    <row r="1" spans="1:6" ht="18.75" x14ac:dyDescent="0.25">
      <c r="A1" s="5" t="s">
        <v>50</v>
      </c>
      <c r="B1" s="5"/>
      <c r="C1" s="5"/>
      <c r="D1" s="5"/>
      <c r="E1" s="5"/>
      <c r="F1" s="5"/>
    </row>
    <row r="2" spans="1:6" x14ac:dyDescent="0.25">
      <c r="A2" s="4" t="s">
        <v>51</v>
      </c>
      <c r="B2" s="4"/>
      <c r="C2" s="4"/>
      <c r="D2" s="4"/>
      <c r="E2" s="4"/>
      <c r="F2" s="4"/>
    </row>
    <row r="4" spans="1:6" ht="15" customHeight="1" x14ac:dyDescent="0.25">
      <c r="A4" s="3" t="s">
        <v>52</v>
      </c>
      <c r="B4" s="3"/>
      <c r="C4" s="3"/>
      <c r="D4" s="3"/>
      <c r="E4" s="3"/>
      <c r="F4" s="3"/>
    </row>
    <row r="5" spans="1:6" ht="28.5" x14ac:dyDescent="0.25">
      <c r="A5" s="30" t="s">
        <v>1</v>
      </c>
      <c r="B5" s="30" t="s">
        <v>12</v>
      </c>
      <c r="C5" s="30" t="s">
        <v>53</v>
      </c>
      <c r="D5" s="30" t="s">
        <v>54</v>
      </c>
      <c r="E5" s="39" t="s">
        <v>55</v>
      </c>
      <c r="F5" s="30" t="s">
        <v>56</v>
      </c>
    </row>
    <row r="6" spans="1:6" ht="31.5" x14ac:dyDescent="0.25">
      <c r="A6" s="31">
        <v>1</v>
      </c>
      <c r="B6" s="32" t="str">
        <f>'Mẫu số 11B. Bảng tổng hợp giá d'!B5</f>
        <v>Đào móng công trình, chiều rộng móng &lt;= 10m, bằng máy đào 2,3m3, đất cấp III</v>
      </c>
      <c r="C6" s="31">
        <f>'Mẫu số 11B. Bảng tổng hợp giá d'!C5</f>
        <v>57.98</v>
      </c>
      <c r="D6" s="31" t="str">
        <f>'Mẫu số 11B. Bảng tổng hợp giá d'!D5</f>
        <v>100m3</v>
      </c>
      <c r="E6" s="33">
        <f>'Mẫu số 11B. Bảng tổng hợp giá d'!G5</f>
        <v>2798765</v>
      </c>
      <c r="F6" s="33">
        <f>'Mẫu số 11B. Bảng tổng hợp giá d'!J5</f>
        <v>162272395</v>
      </c>
    </row>
    <row r="7" spans="1:6" ht="15.75" x14ac:dyDescent="0.25">
      <c r="A7" s="31">
        <v>2</v>
      </c>
      <c r="B7" s="32" t="str">
        <f>'Mẫu số 11B. Bảng tổng hợp giá d'!B6</f>
        <v>Đắp trả móng bằng đá hộc</v>
      </c>
      <c r="C7" s="31">
        <f>'Mẫu số 11B. Bảng tổng hợp giá d'!C6</f>
        <v>9.94</v>
      </c>
      <c r="D7" s="31" t="str">
        <f>'Mẫu số 11B. Bảng tổng hợp giá d'!D6</f>
        <v>100m3</v>
      </c>
      <c r="E7" s="33">
        <f>'Mẫu số 11B. Bảng tổng hợp giá d'!G6</f>
        <v>6660909</v>
      </c>
      <c r="F7" s="33">
        <f>'Mẫu số 11B. Bảng tổng hợp giá d'!J6</f>
        <v>66209435</v>
      </c>
    </row>
    <row r="8" spans="1:6" ht="15.75" x14ac:dyDescent="0.25">
      <c r="A8" s="31">
        <v>3</v>
      </c>
      <c r="B8" s="32" t="str">
        <f>'Mẫu số 11B. Bảng tổng hợp giá d'!B7</f>
        <v>Thi công lớp đá đệm móng, loại đá hộc</v>
      </c>
      <c r="C8" s="31">
        <f>'Mẫu số 11B. Bảng tổng hợp giá d'!C7</f>
        <v>1044</v>
      </c>
      <c r="D8" s="31" t="str">
        <f>'Mẫu số 11B. Bảng tổng hợp giá d'!D7</f>
        <v>m3</v>
      </c>
      <c r="E8" s="33">
        <f>'Mẫu số 11B. Bảng tổng hợp giá d'!G7</f>
        <v>601878</v>
      </c>
      <c r="F8" s="33">
        <f>'Mẫu số 11B. Bảng tổng hợp giá d'!J7</f>
        <v>628360632</v>
      </c>
    </row>
    <row r="9" spans="1:6" ht="31.5" x14ac:dyDescent="0.25">
      <c r="A9" s="31">
        <v>4</v>
      </c>
      <c r="B9" s="32" t="str">
        <f>'Mẫu số 11B. Bảng tổng hợp giá d'!B8</f>
        <v>Vận chuyển đất bằng ôtô tự đổ 12 tấn trong phạm vi &lt;= 500m, đất cấp III</v>
      </c>
      <c r="C9" s="31">
        <f>'Mẫu số 11B. Bảng tổng hợp giá d'!C8</f>
        <v>57.98</v>
      </c>
      <c r="D9" s="31" t="str">
        <f>'Mẫu số 11B. Bảng tổng hợp giá d'!D8</f>
        <v>100m3</v>
      </c>
      <c r="E9" s="33">
        <f>'Mẫu số 11B. Bảng tổng hợp giá d'!G8</f>
        <v>2364868</v>
      </c>
      <c r="F9" s="33">
        <f>'Mẫu số 11B. Bảng tổng hợp giá d'!J8</f>
        <v>137115047</v>
      </c>
    </row>
    <row r="10" spans="1:6" ht="31.5" x14ac:dyDescent="0.25">
      <c r="A10" s="31">
        <v>5</v>
      </c>
      <c r="B10" s="32" t="str">
        <f>'Mẫu số 11B. Bảng tổng hợp giá d'!B9</f>
        <v>Chọn đá hộc tại bãi thải bằng máy đào 0.8mm3 (vận dụng)</v>
      </c>
      <c r="C10" s="31">
        <f>'Mẫu số 11B. Bảng tổng hợp giá d'!C9</f>
        <v>156.5</v>
      </c>
      <c r="D10" s="31" t="str">
        <f>'Mẫu số 11B. Bảng tổng hợp giá d'!D9</f>
        <v>100m3</v>
      </c>
      <c r="E10" s="33">
        <f>'Mẫu số 11B. Bảng tổng hợp giá d'!G9</f>
        <v>2665083</v>
      </c>
      <c r="F10" s="33">
        <f>'Mẫu số 11B. Bảng tổng hợp giá d'!J9</f>
        <v>417085490</v>
      </c>
    </row>
    <row r="11" spans="1:6" ht="31.5" x14ac:dyDescent="0.25">
      <c r="A11" s="31">
        <v>6</v>
      </c>
      <c r="B11" s="32" t="str">
        <f>'Mẫu số 11B. Bảng tổng hợp giá d'!B10</f>
        <v>Xúc đá hộc tại bãi thải lên phương tiện vận chuyển, bằng máy đào 0,8m3</v>
      </c>
      <c r="C11" s="31">
        <f>'Mẫu số 11B. Bảng tổng hợp giá d'!C10</f>
        <v>156.5</v>
      </c>
      <c r="D11" s="31" t="str">
        <f>'Mẫu số 11B. Bảng tổng hợp giá d'!D10</f>
        <v>100m3</v>
      </c>
      <c r="E11" s="33">
        <f>'Mẫu số 11B. Bảng tổng hợp giá d'!G10</f>
        <v>2665083</v>
      </c>
      <c r="F11" s="33">
        <f>'Mẫu số 11B. Bảng tổng hợp giá d'!J10</f>
        <v>417085490</v>
      </c>
    </row>
    <row r="12" spans="1:6" ht="31.5" x14ac:dyDescent="0.25">
      <c r="A12" s="31">
        <v>7</v>
      </c>
      <c r="B12" s="32" t="str">
        <f>'Mẫu số 11B. Bảng tổng hợp giá d'!B11</f>
        <v>Vận chuyển đá hộc bằng ôtô tự đổ 12 tấn trong phạm vi &lt;= 1000m</v>
      </c>
      <c r="C12" s="31">
        <f>'Mẫu số 11B. Bảng tổng hợp giá d'!C11</f>
        <v>156.5</v>
      </c>
      <c r="D12" s="31" t="str">
        <f>'Mẫu số 11B. Bảng tổng hợp giá d'!D11</f>
        <v>100m3</v>
      </c>
      <c r="E12" s="33">
        <f>'Mẫu số 11B. Bảng tổng hợp giá d'!G11</f>
        <v>4870636</v>
      </c>
      <c r="F12" s="33">
        <f>'Mẫu số 11B. Bảng tổng hợp giá d'!J11</f>
        <v>762254534</v>
      </c>
    </row>
    <row r="13" spans="1:6" ht="31.5" x14ac:dyDescent="0.25">
      <c r="A13" s="31">
        <v>8</v>
      </c>
      <c r="B13" s="32" t="str">
        <f>'Mẫu số 11B. Bảng tổng hợp giá d'!B12&amp;" (phần 1.433 rọ)"</f>
        <v>Làm và thả rọ đá, loại rọ 2x1x1 m trên cạn (phần 1.433 rọ)</v>
      </c>
      <c r="C13" s="31">
        <v>1433</v>
      </c>
      <c r="D13" s="31" t="str">
        <f>'Mẫu số 11B. Bảng tổng hợp giá d'!D12</f>
        <v>rọ</v>
      </c>
      <c r="E13" s="33">
        <f>'Mẫu số 11B. Bảng tổng hợp giá d'!G12</f>
        <v>1254055</v>
      </c>
      <c r="F13" s="33">
        <f>ROUND(C13*E13,0)</f>
        <v>1797060815</v>
      </c>
    </row>
    <row r="14" spans="1:6" ht="31.5" x14ac:dyDescent="0.25">
      <c r="A14" s="31">
        <v>9</v>
      </c>
      <c r="B14" s="32" t="str">
        <f>'Mẫu số 11B. Bảng tổng hợp giá d'!B13</f>
        <v>Đổ bê tông thủ công bằng máy trộn, bê tông sân gia cố, đá 1x2, mác 200</v>
      </c>
      <c r="C14" s="31">
        <f>'Mẫu số 11B. Bảng tổng hợp giá d'!C13</f>
        <v>25.2</v>
      </c>
      <c r="D14" s="31" t="str">
        <f>'Mẫu số 11B. Bảng tổng hợp giá d'!D13</f>
        <v>m3</v>
      </c>
      <c r="E14" s="33">
        <f>'Mẫu số 11B. Bảng tổng hợp giá d'!G13</f>
        <v>1955834</v>
      </c>
      <c r="F14" s="33">
        <f>'Mẫu số 11B. Bảng tổng hợp giá d'!J13</f>
        <v>49287017</v>
      </c>
    </row>
    <row r="15" spans="1:6" ht="15.75" x14ac:dyDescent="0.25">
      <c r="A15" s="31">
        <v>10</v>
      </c>
      <c r="B15" s="32" t="str">
        <f>'Mẫu số 11B. Bảng tổng hợp giá d'!B14</f>
        <v>Đá hộc lát khan sân giảm áp</v>
      </c>
      <c r="C15" s="31">
        <f>'Mẫu số 11B. Bảng tổng hợp giá d'!C14</f>
        <v>30</v>
      </c>
      <c r="D15" s="31" t="str">
        <f>'Mẫu số 11B. Bảng tổng hợp giá d'!D14</f>
        <v>m3</v>
      </c>
      <c r="E15" s="33">
        <f>'Mẫu số 11B. Bảng tổng hợp giá d'!G14</f>
        <v>1115846</v>
      </c>
      <c r="F15" s="33">
        <f>'Mẫu số 11B. Bảng tổng hợp giá d'!J14</f>
        <v>33475380</v>
      </c>
    </row>
    <row r="16" spans="1:6" ht="15" customHeight="1" x14ac:dyDescent="0.25">
      <c r="A16" s="2" t="s">
        <v>57</v>
      </c>
      <c r="B16" s="2"/>
      <c r="C16" s="2"/>
      <c r="D16" s="2"/>
      <c r="E16" s="2"/>
      <c r="F16" s="35">
        <f>SUM(F6:F15)</f>
        <v>4470206235</v>
      </c>
    </row>
    <row r="18" spans="1:6" ht="15" customHeight="1" x14ac:dyDescent="0.25">
      <c r="A18" s="3" t="s">
        <v>58</v>
      </c>
      <c r="B18" s="3"/>
      <c r="C18" s="3"/>
      <c r="D18" s="3"/>
      <c r="E18" s="3"/>
      <c r="F18" s="3"/>
    </row>
    <row r="19" spans="1:6" x14ac:dyDescent="0.25">
      <c r="A19" s="30" t="s">
        <v>1</v>
      </c>
      <c r="B19" s="30" t="s">
        <v>12</v>
      </c>
      <c r="C19" s="30" t="s">
        <v>53</v>
      </c>
      <c r="D19" s="30" t="s">
        <v>54</v>
      </c>
      <c r="E19" s="30" t="s">
        <v>55</v>
      </c>
      <c r="F19" s="30" t="s">
        <v>56</v>
      </c>
    </row>
    <row r="20" spans="1:6" ht="31.5" x14ac:dyDescent="0.25">
      <c r="A20" s="31">
        <v>1</v>
      </c>
      <c r="B20" s="32" t="str">
        <f>'Mẫu số 11B. Bảng tổng hợp giá d'!B12&amp;" (phần 5.358 rọ)"</f>
        <v>Làm và thả rọ đá, loại rọ 2x1x1 m trên cạn (phần 5.358 rọ)</v>
      </c>
      <c r="C20" s="31">
        <v>5358</v>
      </c>
      <c r="D20" s="31" t="str">
        <f>'Mẫu số 11B. Bảng tổng hợp giá d'!D12</f>
        <v>rọ</v>
      </c>
      <c r="E20" s="33">
        <f>'Mẫu số 11B. Bảng tổng hợp giá d'!G12</f>
        <v>1254055</v>
      </c>
      <c r="F20" s="33">
        <f>ROUND(C20*E20,0)</f>
        <v>6719226690</v>
      </c>
    </row>
    <row r="21" spans="1:6" ht="15" customHeight="1" x14ac:dyDescent="0.25">
      <c r="A21" s="2" t="s">
        <v>59</v>
      </c>
      <c r="B21" s="2"/>
      <c r="C21" s="2"/>
      <c r="D21" s="2"/>
      <c r="E21" s="2"/>
      <c r="F21" s="35">
        <f>F20</f>
        <v>6719226690</v>
      </c>
    </row>
    <row r="23" spans="1:6" ht="15" customHeight="1" x14ac:dyDescent="0.25">
      <c r="A23" s="3" t="s">
        <v>60</v>
      </c>
      <c r="B23" s="3"/>
      <c r="C23" s="3"/>
      <c r="D23" s="3"/>
      <c r="E23" s="3"/>
      <c r="F23" s="3"/>
    </row>
    <row r="24" spans="1:6" x14ac:dyDescent="0.25">
      <c r="A24" s="30" t="s">
        <v>1</v>
      </c>
      <c r="B24" s="30" t="s">
        <v>61</v>
      </c>
      <c r="C24" s="30" t="s">
        <v>62</v>
      </c>
      <c r="D24" s="30" t="s">
        <v>63</v>
      </c>
      <c r="E24" s="30" t="s">
        <v>64</v>
      </c>
      <c r="F24" s="30" t="s">
        <v>65</v>
      </c>
    </row>
    <row r="25" spans="1:6" ht="31.5" x14ac:dyDescent="0.25">
      <c r="A25" s="31">
        <v>1</v>
      </c>
      <c r="B25" s="32" t="s">
        <v>66</v>
      </c>
      <c r="C25" s="33">
        <f>F16</f>
        <v>4470206235</v>
      </c>
      <c r="D25" s="33">
        <f>E25-C25</f>
        <v>439837778</v>
      </c>
      <c r="E25" s="33">
        <f>ROUND(ROUND('Mẫu số 11B. Bảng tổng hợp giá d'!J17,0)*39.95%,0)</f>
        <v>4910044013</v>
      </c>
      <c r="F25" s="36">
        <f>E25/ROUND('Mẫu số 11B. Bảng tổng hợp giá d'!J17,0)</f>
        <v>0.39949999996440333</v>
      </c>
    </row>
    <row r="26" spans="1:6" ht="15.75" x14ac:dyDescent="0.25">
      <c r="A26" s="31">
        <v>2</v>
      </c>
      <c r="B26" s="32" t="s">
        <v>67</v>
      </c>
      <c r="C26" s="33">
        <f>F21</f>
        <v>6719226690</v>
      </c>
      <c r="D26" s="33">
        <f>E26-C26</f>
        <v>661202422</v>
      </c>
      <c r="E26" s="33">
        <f>ROUND('Mẫu số 11B. Bảng tổng hợp giá d'!J17,0)-E25</f>
        <v>7380429112</v>
      </c>
      <c r="F26" s="36">
        <f>E26/ROUND('Mẫu số 11B. Bảng tổng hợp giá d'!J17,0)</f>
        <v>0.60050000003559667</v>
      </c>
    </row>
    <row r="27" spans="1:6" ht="15.75" x14ac:dyDescent="0.25">
      <c r="A27" s="37"/>
      <c r="B27" s="34" t="s">
        <v>68</v>
      </c>
      <c r="C27" s="35">
        <f>C25+C26</f>
        <v>11189432925</v>
      </c>
      <c r="D27" s="35">
        <f>D25+D26</f>
        <v>1101040200</v>
      </c>
      <c r="E27" s="35">
        <f>E25+E26</f>
        <v>12290473125</v>
      </c>
      <c r="F27" s="38">
        <f>E27/ROUND('Mẫu số 11B. Bảng tổng hợp giá d'!J17,0)</f>
        <v>1</v>
      </c>
    </row>
    <row r="29" spans="1:6" ht="42" customHeight="1" x14ac:dyDescent="0.25">
      <c r="A29" s="1" t="s">
        <v>69</v>
      </c>
      <c r="B29" s="1"/>
      <c r="C29" s="1"/>
      <c r="D29" s="1"/>
      <c r="E29" s="1"/>
      <c r="F29" s="1"/>
    </row>
  </sheetData>
  <mergeCells count="8">
    <mergeCell ref="A21:E21"/>
    <mergeCell ref="A23:F23"/>
    <mergeCell ref="A29:F29"/>
    <mergeCell ref="A1:F1"/>
    <mergeCell ref="A2:F2"/>
    <mergeCell ref="A4:F4"/>
    <mergeCell ref="A16:E16"/>
    <mergeCell ref="A18:F1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Công nhật tổng hợp</vt:lpstr>
      <vt:lpstr>Mẫu số 11B. Bảng tổng hợp giá d</vt:lpstr>
      <vt:lpstr>Tổng hợp giá dự thầu</vt:lpstr>
      <vt:lpstr>Phân chia LD (chuẩn TT)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trinh quan</cp:lastModifiedBy>
  <cp:revision>0</cp:revision>
  <cp:lastPrinted>2026-07-08T10:51:42Z</cp:lastPrinted>
  <dcterms:created xsi:type="dcterms:W3CDTF">2026-06-11T03:46:49Z</dcterms:created>
  <dcterms:modified xsi:type="dcterms:W3CDTF">2026-07-08T10:51:43Z</dcterms:modified>
  <dc:language>en-US</dc:language>
</cp:coreProperties>
</file>